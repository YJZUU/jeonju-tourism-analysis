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직무역량향상프로그램(학생)\2023\과제\전주시데이터분석공모전\"/>
    </mc:Choice>
  </mc:AlternateContent>
  <xr:revisionPtr revIDLastSave="0" documentId="13_ncr:1_{CB99980B-DDB2-475E-A0BD-43AAB0E488C0}" xr6:coauthVersionLast="36" xr6:coauthVersionMax="36" xr10:uidLastSave="{00000000-0000-0000-0000-000000000000}"/>
  <bookViews>
    <workbookView xWindow="0" yWindow="0" windowWidth="38400" windowHeight="15610" activeTab="2" xr2:uid="{F4BE05B0-4486-42FF-92A1-09B6D4C5CACF}"/>
  </bookViews>
  <sheets>
    <sheet name="전주시 데이터" sheetId="1" r:id="rId1"/>
    <sheet name="그 외 지역 데이터" sheetId="3" r:id="rId2"/>
    <sheet name="활용 데이터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  <c r="N22" i="1"/>
  <c r="N23" i="1"/>
  <c r="N20" i="1"/>
  <c r="M21" i="1"/>
  <c r="M22" i="1"/>
  <c r="M23" i="1"/>
  <c r="M20" i="1"/>
  <c r="L21" i="1"/>
  <c r="L22" i="1"/>
  <c r="L23" i="1"/>
  <c r="L20" i="1"/>
  <c r="L13" i="1"/>
  <c r="L14" i="1"/>
  <c r="L12" i="1"/>
  <c r="I14" i="1"/>
  <c r="I13" i="1"/>
  <c r="I12" i="1"/>
  <c r="D13" i="1"/>
  <c r="D14" i="1"/>
  <c r="D12" i="1"/>
  <c r="N5" i="1"/>
  <c r="N6" i="1"/>
  <c r="N4" i="1"/>
  <c r="L5" i="1"/>
  <c r="L6" i="1"/>
  <c r="L4" i="1"/>
  <c r="M5" i="1"/>
  <c r="M6" i="1"/>
  <c r="M4" i="1"/>
  <c r="O5" i="1"/>
  <c r="O6" i="1"/>
  <c r="O4" i="1"/>
</calcChain>
</file>

<file path=xl/sharedStrings.xml><?xml version="1.0" encoding="utf-8"?>
<sst xmlns="http://schemas.openxmlformats.org/spreadsheetml/2006/main" count="114" uniqueCount="35">
  <si>
    <t>전주시 덕진구</t>
    <phoneticPr fontId="2" type="noConversion"/>
  </si>
  <si>
    <t>숙박방문자 수</t>
  </si>
  <si>
    <t>방문자 수</t>
  </si>
  <si>
    <t>평균 숙박일수</t>
  </si>
  <si>
    <t>전주시 완산구</t>
    <phoneticPr fontId="2" type="noConversion"/>
  </si>
  <si>
    <t>숙박 방문자 비율_평균 숙박일</t>
  </si>
  <si>
    <t>평균 체류시간</t>
  </si>
  <si>
    <t>기준연월</t>
  </si>
  <si>
    <t>평균 체류 시간</t>
    <phoneticPr fontId="2" type="noConversion"/>
  </si>
  <si>
    <t>전주시 덕진구+완산구</t>
    <phoneticPr fontId="2" type="noConversion"/>
  </si>
  <si>
    <t>평균 숙박일 수</t>
    <phoneticPr fontId="2" type="noConversion"/>
  </si>
  <si>
    <t>평균 방문자 수</t>
    <phoneticPr fontId="2" type="noConversion"/>
  </si>
  <si>
    <t>평균 숙박 방문자 수</t>
    <phoneticPr fontId="2" type="noConversion"/>
  </si>
  <si>
    <t>평균 숙박 비율(숙박방문자수/방문자수)</t>
    <phoneticPr fontId="2" type="noConversion"/>
  </si>
  <si>
    <t>시간</t>
    <phoneticPr fontId="2" type="noConversion"/>
  </si>
  <si>
    <t>평균 체류시간(분)</t>
    <phoneticPr fontId="2" type="noConversion"/>
  </si>
  <si>
    <t>숙박일수 구분</t>
  </si>
  <si>
    <t>방문자 수(전체)</t>
  </si>
  <si>
    <t>비율</t>
  </si>
  <si>
    <t>무박</t>
  </si>
  <si>
    <t>1박</t>
  </si>
  <si>
    <t>2박</t>
  </si>
  <si>
    <t>3박이상</t>
  </si>
  <si>
    <t>숙박일수별 방문자 수</t>
    <phoneticPr fontId="2" type="noConversion"/>
  </si>
  <si>
    <t>숙박일수 구분</t>
    <phoneticPr fontId="2" type="noConversion"/>
  </si>
  <si>
    <t>전주시</t>
    <phoneticPr fontId="2" type="noConversion"/>
  </si>
  <si>
    <t>서울 특별시</t>
    <phoneticPr fontId="2" type="noConversion"/>
  </si>
  <si>
    <t>경상북도</t>
    <phoneticPr fontId="2" type="noConversion"/>
  </si>
  <si>
    <t>충청남도</t>
    <phoneticPr fontId="2" type="noConversion"/>
  </si>
  <si>
    <t>인천광역시</t>
    <phoneticPr fontId="2" type="noConversion"/>
  </si>
  <si>
    <t>경기도</t>
    <phoneticPr fontId="2" type="noConversion"/>
  </si>
  <si>
    <t>서울특별시</t>
    <phoneticPr fontId="2" type="noConversion"/>
  </si>
  <si>
    <t>경상북도</t>
    <phoneticPr fontId="2" type="noConversion"/>
  </si>
  <si>
    <t>충청남도</t>
    <phoneticPr fontId="2" type="noConversion"/>
  </si>
  <si>
    <t>인천광역시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</si>
</sst>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0.0%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4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7" fontId="0" fillId="0" borderId="0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2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7FE2D-47CE-43F2-9D2C-9B4127FCEC1B}">
  <dimension ref="A1:O23"/>
  <sheetViews>
    <sheetView workbookViewId="0">
      <selection activeCell="N9" sqref="N9"/>
    </sheetView>
  </sheetViews>
  <sheetFormatPr defaultRowHeight="17" x14ac:dyDescent="0.45"/>
  <cols>
    <col min="1" max="1" width="13.33203125" customWidth="1"/>
    <col min="2" max="2" width="13.1640625" customWidth="1"/>
    <col min="3" max="3" width="16.75" customWidth="1"/>
    <col min="4" max="4" width="12.08203125" customWidth="1"/>
    <col min="6" max="6" width="12.33203125" customWidth="1"/>
    <col min="7" max="7" width="14" customWidth="1"/>
    <col min="8" max="8" width="15.5" customWidth="1"/>
    <col min="9" max="9" width="13.08203125" customWidth="1"/>
    <col min="11" max="11" width="12.9140625" customWidth="1"/>
    <col min="12" max="12" width="17.25" customWidth="1"/>
    <col min="13" max="13" width="18.08203125" customWidth="1"/>
    <col min="14" max="14" width="34.9140625" customWidth="1"/>
    <col min="15" max="15" width="13.25" customWidth="1"/>
  </cols>
  <sheetData>
    <row r="1" spans="1:15" ht="40" customHeight="1" x14ac:dyDescent="0.45">
      <c r="A1" s="16" t="s">
        <v>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x14ac:dyDescent="0.45">
      <c r="A2" s="15" t="s">
        <v>0</v>
      </c>
      <c r="B2" s="15"/>
      <c r="C2" s="15"/>
      <c r="D2" s="15"/>
      <c r="E2" s="17"/>
      <c r="F2" s="15" t="s">
        <v>4</v>
      </c>
      <c r="G2" s="15"/>
      <c r="H2" s="15"/>
      <c r="I2" s="15"/>
      <c r="J2" s="17"/>
      <c r="K2" s="20" t="s">
        <v>9</v>
      </c>
      <c r="L2" s="22"/>
      <c r="M2" s="22"/>
      <c r="N2" s="22"/>
      <c r="O2" s="21"/>
    </row>
    <row r="3" spans="1:15" x14ac:dyDescent="0.45">
      <c r="A3" s="2"/>
      <c r="B3" s="2" t="s">
        <v>1</v>
      </c>
      <c r="C3" s="2" t="s">
        <v>2</v>
      </c>
      <c r="D3" s="2" t="s">
        <v>3</v>
      </c>
      <c r="E3" s="18"/>
      <c r="F3" s="2"/>
      <c r="G3" s="3" t="s">
        <v>1</v>
      </c>
      <c r="H3" s="3" t="s">
        <v>2</v>
      </c>
      <c r="I3" s="2" t="s">
        <v>3</v>
      </c>
      <c r="J3" s="18"/>
      <c r="K3" s="2" t="s">
        <v>7</v>
      </c>
      <c r="L3" s="2" t="s">
        <v>11</v>
      </c>
      <c r="M3" s="2" t="s">
        <v>12</v>
      </c>
      <c r="N3" s="2" t="s">
        <v>13</v>
      </c>
      <c r="O3" s="2" t="s">
        <v>10</v>
      </c>
    </row>
    <row r="4" spans="1:15" x14ac:dyDescent="0.45">
      <c r="A4" s="2">
        <v>2020</v>
      </c>
      <c r="B4" s="3">
        <v>2818667</v>
      </c>
      <c r="C4" s="3">
        <v>30300000</v>
      </c>
      <c r="D4" s="2">
        <v>1.3</v>
      </c>
      <c r="E4" s="18"/>
      <c r="F4" s="2">
        <v>2020</v>
      </c>
      <c r="G4" s="3">
        <v>3316970</v>
      </c>
      <c r="H4" s="3">
        <v>34237616</v>
      </c>
      <c r="I4" s="2">
        <v>1.3</v>
      </c>
      <c r="J4" s="18"/>
      <c r="K4" s="2">
        <v>2020</v>
      </c>
      <c r="L4" s="3">
        <f>AVERAGE(C4,H4)</f>
        <v>32268808</v>
      </c>
      <c r="M4" s="3">
        <f>AVERAGE(B4,G4)</f>
        <v>3067818.5</v>
      </c>
      <c r="N4" s="4">
        <f>M4/L4</f>
        <v>9.5070710390046012E-2</v>
      </c>
      <c r="O4" s="5">
        <f>AVERAGE(D4,I4)</f>
        <v>1.3</v>
      </c>
    </row>
    <row r="5" spans="1:15" x14ac:dyDescent="0.45">
      <c r="A5" s="2">
        <v>2021</v>
      </c>
      <c r="B5" s="3">
        <v>2819360</v>
      </c>
      <c r="C5" s="3">
        <v>32400000</v>
      </c>
      <c r="D5" s="2">
        <v>1.5</v>
      </c>
      <c r="E5" s="18"/>
      <c r="F5" s="2">
        <v>2021</v>
      </c>
      <c r="G5" s="3">
        <v>3382296</v>
      </c>
      <c r="H5" s="3">
        <v>35453882</v>
      </c>
      <c r="I5" s="2">
        <v>1.4</v>
      </c>
      <c r="J5" s="18"/>
      <c r="K5" s="2">
        <v>2021</v>
      </c>
      <c r="L5" s="3">
        <f>AVERAGE(C5,H5)</f>
        <v>33926941</v>
      </c>
      <c r="M5" s="3">
        <f>AVERAGE(B5,G5)</f>
        <v>3100828</v>
      </c>
      <c r="N5" s="4">
        <f t="shared" ref="N5:N6" si="0">M5/L5</f>
        <v>9.13972173323849E-2</v>
      </c>
      <c r="O5" s="5">
        <f>AVERAGE(D5,I5)</f>
        <v>1.45</v>
      </c>
    </row>
    <row r="6" spans="1:15" x14ac:dyDescent="0.45">
      <c r="A6" s="2">
        <v>2022</v>
      </c>
      <c r="B6" s="3">
        <v>3159461</v>
      </c>
      <c r="C6" s="3">
        <v>36200000</v>
      </c>
      <c r="D6" s="2">
        <v>1.6</v>
      </c>
      <c r="E6" s="19"/>
      <c r="F6" s="2">
        <v>2022</v>
      </c>
      <c r="G6" s="3">
        <v>3886391</v>
      </c>
      <c r="H6" s="3">
        <v>38554842</v>
      </c>
      <c r="I6" s="2">
        <v>1.5</v>
      </c>
      <c r="J6" s="19"/>
      <c r="K6" s="2">
        <v>2022</v>
      </c>
      <c r="L6" s="3">
        <f>AVERAGE(C6,H6)</f>
        <v>37377421</v>
      </c>
      <c r="M6" s="3">
        <f>AVERAGE(B6,G6)</f>
        <v>3522926</v>
      </c>
      <c r="N6" s="4">
        <f t="shared" si="0"/>
        <v>9.4252784321315272E-2</v>
      </c>
      <c r="O6" s="5">
        <f>AVERAGE(D6,I6)</f>
        <v>1.55</v>
      </c>
    </row>
    <row r="7" spans="1:15" x14ac:dyDescent="0.45">
      <c r="A7" s="8"/>
      <c r="B7" s="9"/>
      <c r="C7" s="9"/>
      <c r="D7" s="8"/>
      <c r="E7" s="8"/>
      <c r="F7" s="8"/>
      <c r="G7" s="9"/>
      <c r="H7" s="9"/>
      <c r="I7" s="8"/>
      <c r="J7" s="8"/>
      <c r="K7" s="8"/>
      <c r="L7" s="9"/>
      <c r="M7" s="9"/>
      <c r="N7" s="11"/>
      <c r="O7" s="10"/>
    </row>
    <row r="8" spans="1:15" x14ac:dyDescent="0.45">
      <c r="B8" s="1"/>
      <c r="C8" s="1"/>
    </row>
    <row r="9" spans="1:15" s="6" customFormat="1" ht="40" customHeight="1" x14ac:dyDescent="0.45">
      <c r="A9" s="16" t="s">
        <v>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5" x14ac:dyDescent="0.45">
      <c r="A10" s="15" t="s">
        <v>0</v>
      </c>
      <c r="B10" s="15"/>
      <c r="C10" s="15"/>
      <c r="D10" s="15"/>
      <c r="E10" s="17"/>
      <c r="F10" s="15" t="s">
        <v>4</v>
      </c>
      <c r="G10" s="15"/>
      <c r="H10" s="15"/>
      <c r="I10" s="15"/>
      <c r="J10" s="17"/>
      <c r="K10" s="20" t="s">
        <v>9</v>
      </c>
      <c r="L10" s="21"/>
    </row>
    <row r="11" spans="1:15" x14ac:dyDescent="0.45">
      <c r="A11" s="2" t="s">
        <v>7</v>
      </c>
      <c r="B11" s="2" t="s">
        <v>2</v>
      </c>
      <c r="C11" s="2" t="s">
        <v>15</v>
      </c>
      <c r="D11" s="2" t="s">
        <v>14</v>
      </c>
      <c r="E11" s="18"/>
      <c r="F11" s="2" t="s">
        <v>7</v>
      </c>
      <c r="G11" s="3" t="s">
        <v>2</v>
      </c>
      <c r="H11" s="2" t="s">
        <v>15</v>
      </c>
      <c r="I11" s="2" t="s">
        <v>14</v>
      </c>
      <c r="J11" s="18"/>
      <c r="K11" s="2" t="s">
        <v>7</v>
      </c>
      <c r="L11" s="2" t="s">
        <v>6</v>
      </c>
    </row>
    <row r="12" spans="1:15" x14ac:dyDescent="0.45">
      <c r="A12" s="2">
        <v>2020</v>
      </c>
      <c r="B12" s="3">
        <v>30320370</v>
      </c>
      <c r="C12" s="2">
        <v>245</v>
      </c>
      <c r="D12" s="5">
        <f>C12/60</f>
        <v>4.083333333333333</v>
      </c>
      <c r="E12" s="18"/>
      <c r="F12" s="2">
        <v>2020</v>
      </c>
      <c r="G12" s="3">
        <v>34237616</v>
      </c>
      <c r="H12" s="2">
        <v>238</v>
      </c>
      <c r="I12" s="5">
        <f>H12/60</f>
        <v>3.9666666666666668</v>
      </c>
      <c r="J12" s="18"/>
      <c r="K12" s="2">
        <v>2020</v>
      </c>
      <c r="L12" s="5">
        <f>AVERAGE(D12,I12)</f>
        <v>4.0250000000000004</v>
      </c>
    </row>
    <row r="13" spans="1:15" x14ac:dyDescent="0.45">
      <c r="A13" s="2">
        <v>2021</v>
      </c>
      <c r="B13" s="3">
        <v>32388677</v>
      </c>
      <c r="C13" s="2">
        <v>240</v>
      </c>
      <c r="D13" s="5">
        <f t="shared" ref="D13:D14" si="1">C13/60</f>
        <v>4</v>
      </c>
      <c r="E13" s="18"/>
      <c r="F13" s="2">
        <v>2021</v>
      </c>
      <c r="G13" s="3">
        <v>35453882</v>
      </c>
      <c r="H13" s="2">
        <v>235</v>
      </c>
      <c r="I13" s="5">
        <f t="shared" ref="I13:I14" si="2">H13/60</f>
        <v>3.9166666666666665</v>
      </c>
      <c r="J13" s="18"/>
      <c r="K13" s="2">
        <v>2021</v>
      </c>
      <c r="L13" s="5">
        <f t="shared" ref="L13:L14" si="3">AVERAGE(D13,I13)</f>
        <v>3.958333333333333</v>
      </c>
    </row>
    <row r="14" spans="1:15" x14ac:dyDescent="0.45">
      <c r="A14" s="2">
        <v>2022</v>
      </c>
      <c r="B14" s="3">
        <v>36164738</v>
      </c>
      <c r="C14" s="2">
        <v>237</v>
      </c>
      <c r="D14" s="5">
        <f t="shared" si="1"/>
        <v>3.95</v>
      </c>
      <c r="E14" s="19"/>
      <c r="F14" s="2">
        <v>2022</v>
      </c>
      <c r="G14" s="3">
        <v>38554842</v>
      </c>
      <c r="H14" s="2">
        <v>243</v>
      </c>
      <c r="I14" s="5">
        <f t="shared" si="2"/>
        <v>4.05</v>
      </c>
      <c r="J14" s="19"/>
      <c r="K14" s="2">
        <v>2022</v>
      </c>
      <c r="L14" s="5">
        <f t="shared" si="3"/>
        <v>4</v>
      </c>
    </row>
    <row r="15" spans="1:15" x14ac:dyDescent="0.45">
      <c r="A15" s="8"/>
      <c r="B15" s="9"/>
      <c r="C15" s="8"/>
      <c r="D15" s="10"/>
      <c r="E15" s="8"/>
      <c r="F15" s="8"/>
      <c r="G15" s="9"/>
      <c r="H15" s="8"/>
      <c r="I15" s="10"/>
      <c r="J15" s="8"/>
      <c r="K15" s="8"/>
      <c r="L15" s="10"/>
    </row>
    <row r="16" spans="1:15" x14ac:dyDescent="0.45">
      <c r="B16" s="1"/>
    </row>
    <row r="17" spans="1:14" ht="40" customHeight="1" x14ac:dyDescent="0.45">
      <c r="A17" s="16" t="s">
        <v>23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x14ac:dyDescent="0.45">
      <c r="A18" s="15" t="s">
        <v>0</v>
      </c>
      <c r="B18" s="15"/>
      <c r="C18" s="15"/>
      <c r="D18" s="15"/>
      <c r="E18" s="17"/>
      <c r="F18" s="15" t="s">
        <v>4</v>
      </c>
      <c r="G18" s="15"/>
      <c r="H18" s="15"/>
      <c r="I18" s="15"/>
      <c r="J18" s="17"/>
      <c r="K18" s="15" t="s">
        <v>9</v>
      </c>
      <c r="L18" s="15"/>
      <c r="M18" s="15"/>
      <c r="N18" s="15"/>
    </row>
    <row r="19" spans="1:14" x14ac:dyDescent="0.45">
      <c r="A19" s="2" t="s">
        <v>16</v>
      </c>
      <c r="B19" s="2" t="s">
        <v>2</v>
      </c>
      <c r="C19" s="2" t="s">
        <v>17</v>
      </c>
      <c r="D19" s="2" t="s">
        <v>18</v>
      </c>
      <c r="E19" s="18"/>
      <c r="F19" s="2" t="s">
        <v>16</v>
      </c>
      <c r="G19" s="2" t="s">
        <v>2</v>
      </c>
      <c r="H19" s="2" t="s">
        <v>17</v>
      </c>
      <c r="I19" s="2" t="s">
        <v>18</v>
      </c>
      <c r="J19" s="18"/>
      <c r="K19" s="2" t="s">
        <v>24</v>
      </c>
      <c r="L19" s="2" t="s">
        <v>2</v>
      </c>
      <c r="M19" s="2" t="s">
        <v>17</v>
      </c>
      <c r="N19" s="2" t="s">
        <v>18</v>
      </c>
    </row>
    <row r="20" spans="1:14" x14ac:dyDescent="0.45">
      <c r="A20" s="2" t="s">
        <v>19</v>
      </c>
      <c r="B20" s="3">
        <v>90076297</v>
      </c>
      <c r="C20" s="3">
        <v>98873785</v>
      </c>
      <c r="D20" s="2">
        <v>91.1</v>
      </c>
      <c r="E20" s="18"/>
      <c r="F20" s="2" t="s">
        <v>19</v>
      </c>
      <c r="G20" s="3">
        <v>97660684</v>
      </c>
      <c r="H20" s="3">
        <v>108246341</v>
      </c>
      <c r="I20" s="2">
        <v>90.2</v>
      </c>
      <c r="J20" s="18"/>
      <c r="K20" s="2" t="s">
        <v>19</v>
      </c>
      <c r="L20" s="7">
        <f>B20+G20</f>
        <v>187736981</v>
      </c>
      <c r="M20" s="7">
        <f>C20+H20</f>
        <v>207120126</v>
      </c>
      <c r="N20" s="4">
        <f>L20/M20</f>
        <v>0.90641592695825224</v>
      </c>
    </row>
    <row r="21" spans="1:14" x14ac:dyDescent="0.45">
      <c r="A21" s="2" t="s">
        <v>20</v>
      </c>
      <c r="B21" s="3">
        <v>5976569</v>
      </c>
      <c r="C21" s="3">
        <v>98873785</v>
      </c>
      <c r="D21" s="2">
        <v>6</v>
      </c>
      <c r="E21" s="18"/>
      <c r="F21" s="2" t="s">
        <v>20</v>
      </c>
      <c r="G21" s="3">
        <v>7479593</v>
      </c>
      <c r="H21" s="3">
        <v>108246341</v>
      </c>
      <c r="I21" s="2">
        <v>6.9</v>
      </c>
      <c r="J21" s="18"/>
      <c r="K21" s="2" t="s">
        <v>20</v>
      </c>
      <c r="L21" s="7">
        <f t="shared" ref="L21:L23" si="4">B21+G21</f>
        <v>13456162</v>
      </c>
      <c r="M21" s="7">
        <f t="shared" ref="M21:M23" si="5">C21+H21</f>
        <v>207120126</v>
      </c>
      <c r="N21" s="4">
        <f t="shared" ref="N21:N23" si="6">L21/M21</f>
        <v>6.4967911423537861E-2</v>
      </c>
    </row>
    <row r="22" spans="1:14" x14ac:dyDescent="0.45">
      <c r="A22" s="2" t="s">
        <v>21</v>
      </c>
      <c r="B22" s="3">
        <v>1360901</v>
      </c>
      <c r="C22" s="3">
        <v>98873785</v>
      </c>
      <c r="D22" s="2">
        <v>1.4</v>
      </c>
      <c r="E22" s="18"/>
      <c r="F22" s="2" t="s">
        <v>21</v>
      </c>
      <c r="G22" s="3">
        <v>1593642</v>
      </c>
      <c r="H22" s="3">
        <v>108246341</v>
      </c>
      <c r="I22" s="2">
        <v>1.5</v>
      </c>
      <c r="J22" s="18"/>
      <c r="K22" s="2" t="s">
        <v>21</v>
      </c>
      <c r="L22" s="7">
        <f t="shared" si="4"/>
        <v>2954543</v>
      </c>
      <c r="M22" s="7">
        <f t="shared" si="5"/>
        <v>207120126</v>
      </c>
      <c r="N22" s="4">
        <f t="shared" si="6"/>
        <v>1.4264876412831074E-2</v>
      </c>
    </row>
    <row r="23" spans="1:14" x14ac:dyDescent="0.45">
      <c r="A23" s="2" t="s">
        <v>22</v>
      </c>
      <c r="B23" s="3">
        <v>1460019</v>
      </c>
      <c r="C23" s="3">
        <v>98873785</v>
      </c>
      <c r="D23" s="2">
        <v>1.5</v>
      </c>
      <c r="E23" s="19"/>
      <c r="F23" s="2" t="s">
        <v>22</v>
      </c>
      <c r="G23" s="3">
        <v>1512422</v>
      </c>
      <c r="H23" s="3">
        <v>108246341</v>
      </c>
      <c r="I23" s="2">
        <v>1.4</v>
      </c>
      <c r="J23" s="19"/>
      <c r="K23" s="2" t="s">
        <v>22</v>
      </c>
      <c r="L23" s="7">
        <f t="shared" si="4"/>
        <v>2972441</v>
      </c>
      <c r="M23" s="7">
        <f t="shared" si="5"/>
        <v>207120126</v>
      </c>
      <c r="N23" s="4">
        <f t="shared" si="6"/>
        <v>1.4351290033494862E-2</v>
      </c>
    </row>
  </sheetData>
  <mergeCells count="18">
    <mergeCell ref="A1:O1"/>
    <mergeCell ref="A2:D2"/>
    <mergeCell ref="F2:I2"/>
    <mergeCell ref="J2:J6"/>
    <mergeCell ref="E2:E6"/>
    <mergeCell ref="K2:O2"/>
    <mergeCell ref="A10:D10"/>
    <mergeCell ref="F10:I10"/>
    <mergeCell ref="A9:L9"/>
    <mergeCell ref="E10:E14"/>
    <mergeCell ref="J10:J14"/>
    <mergeCell ref="K10:L10"/>
    <mergeCell ref="A18:D18"/>
    <mergeCell ref="F18:I18"/>
    <mergeCell ref="K18:N18"/>
    <mergeCell ref="A17:N17"/>
    <mergeCell ref="E18:E23"/>
    <mergeCell ref="J18:J2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8422-36F5-40DF-8DE5-B62F1FEE0455}">
  <dimension ref="A1:D34"/>
  <sheetViews>
    <sheetView workbookViewId="0">
      <selection activeCell="D31" sqref="D31:D34"/>
    </sheetView>
  </sheetViews>
  <sheetFormatPr defaultRowHeight="17" x14ac:dyDescent="0.45"/>
  <cols>
    <col min="1" max="1" width="13.08203125" bestFit="1" customWidth="1"/>
    <col min="2" max="2" width="14.25" bestFit="1" customWidth="1"/>
    <col min="3" max="3" width="14.4140625" bestFit="1" customWidth="1"/>
    <col min="4" max="4" width="5.1640625" bestFit="1" customWidth="1"/>
  </cols>
  <sheetData>
    <row r="1" spans="1:4" x14ac:dyDescent="0.45">
      <c r="A1" t="s">
        <v>30</v>
      </c>
    </row>
    <row r="2" spans="1:4" x14ac:dyDescent="0.45">
      <c r="A2" t="s">
        <v>16</v>
      </c>
      <c r="B2" t="s">
        <v>2</v>
      </c>
      <c r="C2" t="s">
        <v>17</v>
      </c>
      <c r="D2" t="s">
        <v>18</v>
      </c>
    </row>
    <row r="3" spans="1:4" x14ac:dyDescent="0.45">
      <c r="A3" t="s">
        <v>19</v>
      </c>
      <c r="B3" s="1">
        <v>1390296344</v>
      </c>
      <c r="C3" s="1">
        <v>1703971882</v>
      </c>
      <c r="D3">
        <v>81.599999999999994</v>
      </c>
    </row>
    <row r="4" spans="1:4" x14ac:dyDescent="0.45">
      <c r="A4" t="s">
        <v>20</v>
      </c>
      <c r="B4" s="1">
        <v>216627916</v>
      </c>
      <c r="C4" s="1">
        <v>1703971882</v>
      </c>
      <c r="D4">
        <v>12.7</v>
      </c>
    </row>
    <row r="5" spans="1:4" x14ac:dyDescent="0.45">
      <c r="A5" t="s">
        <v>21</v>
      </c>
      <c r="B5" s="1">
        <v>44847106</v>
      </c>
      <c r="C5" s="1">
        <v>1703971882</v>
      </c>
      <c r="D5">
        <v>2.6</v>
      </c>
    </row>
    <row r="6" spans="1:4" x14ac:dyDescent="0.45">
      <c r="A6" t="s">
        <v>22</v>
      </c>
      <c r="B6" s="1">
        <v>52200515</v>
      </c>
      <c r="C6" s="1">
        <v>1703971882</v>
      </c>
      <c r="D6">
        <v>3.1</v>
      </c>
    </row>
    <row r="8" spans="1:4" x14ac:dyDescent="0.45">
      <c r="A8" t="s">
        <v>31</v>
      </c>
    </row>
    <row r="9" spans="1:4" x14ac:dyDescent="0.45">
      <c r="A9" t="s">
        <v>16</v>
      </c>
      <c r="B9" t="s">
        <v>2</v>
      </c>
      <c r="C9" t="s">
        <v>17</v>
      </c>
      <c r="D9" t="s">
        <v>18</v>
      </c>
    </row>
    <row r="10" spans="1:4" x14ac:dyDescent="0.45">
      <c r="A10" t="s">
        <v>19</v>
      </c>
      <c r="B10">
        <v>1276991972</v>
      </c>
      <c r="C10">
        <v>1528593295</v>
      </c>
      <c r="D10">
        <v>83.5</v>
      </c>
    </row>
    <row r="11" spans="1:4" x14ac:dyDescent="0.45">
      <c r="A11" t="s">
        <v>20</v>
      </c>
      <c r="B11">
        <v>176789225</v>
      </c>
      <c r="C11">
        <v>1528593295</v>
      </c>
      <c r="D11">
        <v>11.6</v>
      </c>
    </row>
    <row r="12" spans="1:4" x14ac:dyDescent="0.45">
      <c r="A12" t="s">
        <v>21</v>
      </c>
      <c r="B12">
        <v>33456133</v>
      </c>
      <c r="C12">
        <v>1528593295</v>
      </c>
      <c r="D12">
        <v>2.2000000000000002</v>
      </c>
    </row>
    <row r="13" spans="1:4" x14ac:dyDescent="0.45">
      <c r="A13" t="s">
        <v>22</v>
      </c>
      <c r="B13">
        <v>41355965</v>
      </c>
      <c r="C13">
        <v>1528593295</v>
      </c>
      <c r="D13">
        <v>2.7</v>
      </c>
    </row>
    <row r="15" spans="1:4" x14ac:dyDescent="0.45">
      <c r="A15" t="s">
        <v>32</v>
      </c>
    </row>
    <row r="16" spans="1:4" x14ac:dyDescent="0.45">
      <c r="A16" t="s">
        <v>16</v>
      </c>
      <c r="B16" t="s">
        <v>2</v>
      </c>
      <c r="C16" t="s">
        <v>17</v>
      </c>
      <c r="D16" t="s">
        <v>18</v>
      </c>
    </row>
    <row r="17" spans="1:4" x14ac:dyDescent="0.45">
      <c r="A17" t="s">
        <v>19</v>
      </c>
      <c r="B17">
        <v>391830273</v>
      </c>
      <c r="C17">
        <v>491299691</v>
      </c>
      <c r="D17">
        <v>79.8</v>
      </c>
    </row>
    <row r="18" spans="1:4" x14ac:dyDescent="0.45">
      <c r="A18" t="s">
        <v>20</v>
      </c>
      <c r="B18">
        <v>70117133</v>
      </c>
      <c r="C18">
        <v>491299691</v>
      </c>
      <c r="D18">
        <v>14.3</v>
      </c>
    </row>
    <row r="19" spans="1:4" x14ac:dyDescent="0.45">
      <c r="A19" t="s">
        <v>21</v>
      </c>
      <c r="B19">
        <v>16499812</v>
      </c>
      <c r="C19">
        <v>491299691</v>
      </c>
      <c r="D19">
        <v>3.4</v>
      </c>
    </row>
    <row r="20" spans="1:4" x14ac:dyDescent="0.45">
      <c r="A20" t="s">
        <v>22</v>
      </c>
      <c r="B20">
        <v>12852473</v>
      </c>
      <c r="C20">
        <v>491299691</v>
      </c>
      <c r="D20">
        <v>2.6</v>
      </c>
    </row>
    <row r="22" spans="1:4" x14ac:dyDescent="0.45">
      <c r="A22" t="s">
        <v>33</v>
      </c>
    </row>
    <row r="23" spans="1:4" x14ac:dyDescent="0.45">
      <c r="A23" t="s">
        <v>16</v>
      </c>
      <c r="B23" t="s">
        <v>2</v>
      </c>
      <c r="C23" t="s">
        <v>17</v>
      </c>
      <c r="D23" t="s">
        <v>18</v>
      </c>
    </row>
    <row r="24" spans="1:4" x14ac:dyDescent="0.45">
      <c r="A24" t="s">
        <v>19</v>
      </c>
      <c r="B24">
        <v>352477908</v>
      </c>
      <c r="C24">
        <v>438955672</v>
      </c>
      <c r="D24">
        <v>80.3</v>
      </c>
    </row>
    <row r="25" spans="1:4" x14ac:dyDescent="0.45">
      <c r="A25" t="s">
        <v>20</v>
      </c>
      <c r="B25">
        <v>61992670</v>
      </c>
      <c r="C25">
        <v>438955672</v>
      </c>
      <c r="D25">
        <v>14.1</v>
      </c>
    </row>
    <row r="26" spans="1:4" x14ac:dyDescent="0.45">
      <c r="A26" t="s">
        <v>21</v>
      </c>
      <c r="B26">
        <v>13483865</v>
      </c>
      <c r="C26">
        <v>438955672</v>
      </c>
      <c r="D26">
        <v>3.1</v>
      </c>
    </row>
    <row r="27" spans="1:4" x14ac:dyDescent="0.45">
      <c r="A27" t="s">
        <v>22</v>
      </c>
      <c r="B27">
        <v>11001229</v>
      </c>
      <c r="C27">
        <v>438955672</v>
      </c>
      <c r="D27">
        <v>2.5</v>
      </c>
    </row>
    <row r="29" spans="1:4" x14ac:dyDescent="0.45">
      <c r="A29" t="s">
        <v>34</v>
      </c>
    </row>
    <row r="30" spans="1:4" x14ac:dyDescent="0.45">
      <c r="A30" t="s">
        <v>16</v>
      </c>
      <c r="B30" t="s">
        <v>2</v>
      </c>
      <c r="C30" t="s">
        <v>17</v>
      </c>
      <c r="D30" t="s">
        <v>18</v>
      </c>
    </row>
    <row r="31" spans="1:4" x14ac:dyDescent="0.45">
      <c r="A31" t="s">
        <v>19</v>
      </c>
      <c r="B31">
        <v>356831912</v>
      </c>
      <c r="C31">
        <v>429586612</v>
      </c>
      <c r="D31">
        <v>83.1</v>
      </c>
    </row>
    <row r="32" spans="1:4" x14ac:dyDescent="0.45">
      <c r="A32" t="s">
        <v>20</v>
      </c>
      <c r="B32">
        <v>52444295</v>
      </c>
      <c r="C32">
        <v>429586612</v>
      </c>
      <c r="D32">
        <v>12.2</v>
      </c>
    </row>
    <row r="33" spans="1:4" x14ac:dyDescent="0.45">
      <c r="A33" t="s">
        <v>21</v>
      </c>
      <c r="B33">
        <v>9708359</v>
      </c>
      <c r="C33">
        <v>429586612</v>
      </c>
      <c r="D33">
        <v>2.2999999999999998</v>
      </c>
    </row>
    <row r="34" spans="1:4" x14ac:dyDescent="0.45">
      <c r="A34" t="s">
        <v>22</v>
      </c>
      <c r="B34">
        <v>10602045</v>
      </c>
      <c r="C34">
        <v>429586612</v>
      </c>
      <c r="D34">
        <v>2.5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E78C-DC3E-4FCB-9939-C4F957CA8337}">
  <dimension ref="A1:L7"/>
  <sheetViews>
    <sheetView tabSelected="1" workbookViewId="0">
      <selection activeCell="G23" sqref="G23"/>
    </sheetView>
  </sheetViews>
  <sheetFormatPr defaultRowHeight="17" x14ac:dyDescent="0.45"/>
  <cols>
    <col min="1" max="1" width="11.9140625" bestFit="1" customWidth="1"/>
    <col min="2" max="2" width="12" customWidth="1"/>
    <col min="3" max="3" width="14.33203125" bestFit="1" customWidth="1"/>
    <col min="4" max="4" width="12.33203125" bestFit="1" customWidth="1"/>
    <col min="7" max="7" width="9.5" bestFit="1" customWidth="1"/>
  </cols>
  <sheetData>
    <row r="1" spans="1:12" ht="40" customHeight="1" x14ac:dyDescent="0.45">
      <c r="A1" s="16" t="s">
        <v>23</v>
      </c>
      <c r="B1" s="16"/>
      <c r="C1" s="16"/>
      <c r="D1" s="16"/>
      <c r="E1" s="16"/>
      <c r="F1" s="16"/>
      <c r="G1" s="16"/>
      <c r="H1" s="12"/>
      <c r="I1" s="12"/>
      <c r="J1" s="12"/>
      <c r="K1" s="12"/>
      <c r="L1" s="12"/>
    </row>
    <row r="2" spans="1:12" ht="17.5" x14ac:dyDescent="0.45">
      <c r="B2" s="13"/>
      <c r="D2" s="14"/>
      <c r="F2" s="14"/>
      <c r="H2" s="14"/>
      <c r="J2" s="14"/>
      <c r="L2" s="14"/>
    </row>
    <row r="3" spans="1:12" x14ac:dyDescent="0.45">
      <c r="A3" s="23" t="s">
        <v>16</v>
      </c>
      <c r="B3" s="24" t="s">
        <v>25</v>
      </c>
      <c r="C3" s="23" t="s">
        <v>30</v>
      </c>
      <c r="D3" s="23" t="s">
        <v>26</v>
      </c>
      <c r="E3" s="23" t="s">
        <v>27</v>
      </c>
      <c r="F3" s="23" t="s">
        <v>28</v>
      </c>
      <c r="G3" s="23" t="s">
        <v>29</v>
      </c>
    </row>
    <row r="4" spans="1:12" x14ac:dyDescent="0.45">
      <c r="A4" s="23" t="s">
        <v>19</v>
      </c>
      <c r="B4" s="25">
        <v>0.90641592695825224</v>
      </c>
      <c r="C4" s="26">
        <v>0.81599999999999995</v>
      </c>
      <c r="D4" s="4">
        <v>0.83499999999999996</v>
      </c>
      <c r="E4" s="4">
        <v>0.79800000000000004</v>
      </c>
      <c r="F4" s="4">
        <v>0.80300000000000005</v>
      </c>
      <c r="G4" s="4">
        <v>0.83099999999999996</v>
      </c>
    </row>
    <row r="5" spans="1:12" x14ac:dyDescent="0.45">
      <c r="A5" s="23" t="s">
        <v>20</v>
      </c>
      <c r="B5" s="25">
        <v>6.4967911423537861E-2</v>
      </c>
      <c r="C5" s="26">
        <v>0.127</v>
      </c>
      <c r="D5" s="4">
        <v>0.11600000000000001</v>
      </c>
      <c r="E5" s="4">
        <v>0.14299999999999999</v>
      </c>
      <c r="F5" s="4">
        <v>0.14099999999999999</v>
      </c>
      <c r="G5" s="4">
        <v>0.122</v>
      </c>
    </row>
    <row r="6" spans="1:12" x14ac:dyDescent="0.45">
      <c r="A6" s="23" t="s">
        <v>21</v>
      </c>
      <c r="B6" s="25">
        <v>1.4264876412831074E-2</v>
      </c>
      <c r="C6" s="26">
        <v>2.5999999999999999E-2</v>
      </c>
      <c r="D6" s="4">
        <v>2.1999999999999999E-2</v>
      </c>
      <c r="E6" s="4">
        <v>3.4000000000000002E-2</v>
      </c>
      <c r="F6" s="4">
        <v>3.1E-2</v>
      </c>
      <c r="G6" s="4">
        <v>2.3E-2</v>
      </c>
    </row>
    <row r="7" spans="1:12" x14ac:dyDescent="0.45">
      <c r="A7" s="23" t="s">
        <v>22</v>
      </c>
      <c r="B7" s="25">
        <v>1.4351290033494862E-2</v>
      </c>
      <c r="C7" s="26">
        <v>3.1E-2</v>
      </c>
      <c r="D7" s="4">
        <v>2.7E-2</v>
      </c>
      <c r="E7" s="4">
        <v>2.5999999999999999E-2</v>
      </c>
      <c r="F7" s="4">
        <v>2.5000000000000001E-2</v>
      </c>
      <c r="G7" s="4">
        <v>2.5000000000000001E-2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전주시 데이터</vt:lpstr>
      <vt:lpstr>그 외 지역 데이터</vt:lpstr>
      <vt:lpstr>활용 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2023-06-12T11:13:01Z</dcterms:created>
  <dcterms:modified xsi:type="dcterms:W3CDTF">2023-06-12T13:25:02Z</dcterms:modified>
</cp:coreProperties>
</file>